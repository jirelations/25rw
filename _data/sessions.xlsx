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rw/_data/"/>
    </mc:Choice>
  </mc:AlternateContent>
  <xr:revisionPtr revIDLastSave="0" documentId="13_ncr:1_{97451AA3-AEB3-8042-9F3C-E3D657EC2622}" xr6:coauthVersionLast="47" xr6:coauthVersionMax="47" xr10:uidLastSave="{00000000-0000-0000-0000-000000000000}"/>
  <bookViews>
    <workbookView xWindow="-25800" yWindow="760" windowWidth="2580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P2" i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0" i="1"/>
  <c r="D4" i="1"/>
  <c r="D11" i="1"/>
  <c r="D3" i="1"/>
  <c r="D9" i="1"/>
  <c r="D8" i="1"/>
  <c r="D7" i="1"/>
  <c r="D6" i="1"/>
  <c r="D5" i="1"/>
  <c r="D2" i="1"/>
</calcChain>
</file>

<file path=xl/sharedStrings.xml><?xml version="1.0" encoding="utf-8"?>
<sst xmlns="http://schemas.openxmlformats.org/spreadsheetml/2006/main" count="106" uniqueCount="95">
  <si>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</si>
  <si>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</si>
  <si>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</si>
  <si>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</si>
  <si>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</si>
  <si>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</si>
  <si>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</si>
  <si>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</si>
  <si>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</si>
  <si>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</si>
  <si>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</si>
  <si>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</si>
  <si>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</si>
  <si>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</si>
  <si>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</si>
  <si>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</si>
  <si>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</si>
  <si>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</si>
  <si>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</si>
  <si>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</si>
  <si>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</si>
  <si>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</si>
  <si>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</si>
  <si>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</si>
  <si>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</si>
  <si>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</si>
  <si>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</si>
  <si>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</si>
  <si>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</si>
  <si>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</si>
  <si>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</si>
  <si>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</si>
  <si>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</si>
  <si>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</si>
  <si>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</si>
  <si>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</si>
  <si>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</si>
  <si>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</si>
  <si>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</si>
  <si>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</si>
  <si>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</si>
  <si>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</si>
  <si>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</si>
  <si>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</si>
  <si>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</si>
  <si>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</si>
  <si>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</si>
  <si>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</si>
  <si>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</si>
  <si>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</si>
  <si>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</si>
  <si>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</si>
  <si>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</si>
  <si>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</si>
  <si>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</si>
  <si>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</si>
  <si>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</si>
  <si>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</si>
  <si>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</si>
  <si>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</si>
  <si>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</si>
  <si>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</si>
  <si>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</si>
  <si>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</si>
  <si>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</si>
  <si>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</si>
  <si>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</si>
  <si>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</si>
  <si>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</si>
  <si>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</si>
  <si>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</si>
  <si>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</si>
  <si>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</si>
  <si>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</si>
  <si>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</si>
  <si>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</si>
  <si>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</si>
  <si>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</si>
  <si>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</si>
  <si>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</si>
  <si>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</si>
  <si>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</si>
  <si>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</si>
  <si>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</si>
  <si>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Die Gestaltung religiöser Kunst beobachten und beschreiben.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</si>
  <si>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</si>
  <si>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</si>
  <si>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</si>
  <si>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</si>
  <si>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</si>
  <si>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Kursbesuch: Kunst (Shahid Alam)</t>
  </si>
  <si>
    <t>Fundamentalismus, Radikalisierung und Extremismus definieren und Beispiele für jeden Begriff geben.</t>
  </si>
  <si>
    <t>Wie definiert Riesebrodt den Fundamentalismus?</t>
  </si>
  <si>
    <t>riesebrodt11FundamentalismusUnd1990</t>
  </si>
  <si>
    <t>Überlegen und erklären können, inwieweit religionswissenschaftliche Ansätze zum interreligiösen Dialog beitragen können, sollen und dürfen.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</si>
</sst>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4" fontId="8" fillId="0" borderId="1" xfId="0" applyNumberFormat="1" applyFont="1" applyBorder="1" applyAlignment="1">
      <alignment horizontal="left"/>
    </xf>
    <xf numFmtId="0" fontId="8" fillId="0" borderId="1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zoomScale="150" zoomScaleNormal="140" workbookViewId="0">
      <selection activeCell="F13" sqref="F13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80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45943</v>
      </c>
      <c r="D2" s="4" t="str">
        <f t="shared" ref="D2:D16" si="0">IF(LEN(C2),TEXT(C2, "YYYY-MM-DD") &amp; "-" &amp; B2 &amp; ".md",)</f>
        <v>2025-10-13-1.md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49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45950</v>
      </c>
      <c r="D3" s="4" t="str">
        <f t="shared" si="0"/>
        <v>2025-10-20-2.md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50</v>
      </c>
      <c r="L3" t="str">
        <f t="shared" ref="L3:L16" si="5">SUBSTITUTE(SUBSTITUTE(SUBSTITUTE(SUBSTITUTE(B3 &amp; ". " &amp; F3,".",""),"&amp;","")," ","-"),"--","-")</f>
        <v>2-Definitionen</v>
      </c>
      <c r="M3" s="10" t="s">
        <v>62</v>
      </c>
      <c r="N3" t="s">
        <v>73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45957</v>
      </c>
      <c r="D4" s="4" t="str">
        <f t="shared" si="0"/>
        <v>2025-10-27-3.md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51</v>
      </c>
      <c r="L4" t="str">
        <f t="shared" si="5"/>
        <v>3-Ritual</v>
      </c>
      <c r="M4" s="11" t="s">
        <v>65</v>
      </c>
      <c r="N4" t="s">
        <v>74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45964</v>
      </c>
      <c r="D5" s="4" t="str">
        <f t="shared" si="0"/>
        <v>2025-11-03-4.md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52</v>
      </c>
      <c r="L5" t="str">
        <f t="shared" si="5"/>
        <v>4-Gruppen</v>
      </c>
      <c r="M5" s="9" t="s">
        <v>66</v>
      </c>
      <c r="N5" t="s">
        <v>75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45971</v>
      </c>
      <c r="D6" s="4" t="str">
        <f t="shared" si="0"/>
        <v>2025-11-10-5.md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53</v>
      </c>
      <c r="L6" t="str">
        <f t="shared" si="5"/>
        <v>5-Gender</v>
      </c>
      <c r="M6" s="9" t="s">
        <v>67</v>
      </c>
      <c r="N6" t="s">
        <v>76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45978</v>
      </c>
      <c r="D7" s="4" t="str">
        <f t="shared" si="0"/>
        <v>2025-11-17-6.md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54</v>
      </c>
      <c r="L7" t="str">
        <f t="shared" si="5"/>
        <v>6-Orthodoxie</v>
      </c>
      <c r="M7" s="12" t="s">
        <v>77</v>
      </c>
      <c r="N7" t="s">
        <v>78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45985</v>
      </c>
      <c r="D8" s="4" t="str">
        <f t="shared" si="0"/>
        <v>2025-11-24-7.md</v>
      </c>
      <c r="E8" s="4" t="s">
        <v>18</v>
      </c>
      <c r="F8" s="4" t="s">
        <v>27</v>
      </c>
      <c r="G8" t="s">
        <v>41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56</v>
      </c>
      <c r="L8" t="str">
        <f t="shared" si="5"/>
        <v>7-Schriften</v>
      </c>
      <c r="M8" s="9" t="s">
        <v>68</v>
      </c>
      <c r="N8" t="s">
        <v>79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45992</v>
      </c>
      <c r="D9" s="4" t="str">
        <f t="shared" si="0"/>
        <v>2025-12-01-8.md</v>
      </c>
      <c r="E9" s="4" t="s">
        <v>18</v>
      </c>
      <c r="F9" s="4" t="s">
        <v>28</v>
      </c>
      <c r="G9" t="s">
        <v>42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64</v>
      </c>
      <c r="L9" t="str">
        <f t="shared" si="5"/>
        <v>8-Objekte</v>
      </c>
      <c r="M9" s="9" t="s">
        <v>69</v>
      </c>
      <c r="N9" t="s">
        <v>81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45999</v>
      </c>
      <c r="D10" s="4" t="str">
        <f t="shared" si="0"/>
        <v>2025-12-08-9.md</v>
      </c>
      <c r="E10" s="4" t="s">
        <v>18</v>
      </c>
      <c r="F10" s="4" t="s">
        <v>29</v>
      </c>
      <c r="G10" t="s">
        <v>43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57</v>
      </c>
      <c r="L10" t="str">
        <f t="shared" si="5"/>
        <v>9-Orte</v>
      </c>
      <c r="M10" s="9" t="s">
        <v>70</v>
      </c>
      <c r="N10" t="s">
        <v>82</v>
      </c>
      <c r="O10" t="s">
        <v>83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46006</v>
      </c>
      <c r="D11" s="4" t="str">
        <f t="shared" si="0"/>
        <v>2025-12-15-10.md</v>
      </c>
      <c r="E11" s="4" t="s">
        <v>18</v>
      </c>
      <c r="F11" s="13" t="s">
        <v>26</v>
      </c>
      <c r="G11" s="14" t="s">
        <v>90</v>
      </c>
      <c r="I11" t="str">
        <f t="shared" si="4"/>
        <v>10. Materialität und Körper: Kursbesuch: Kunst (Shahid Alam)</v>
      </c>
      <c r="J11" s="3">
        <f t="shared" si="1"/>
        <v>10</v>
      </c>
      <c r="K11" s="14" t="s">
        <v>55</v>
      </c>
      <c r="L11" t="str">
        <f t="shared" si="5"/>
        <v>10-Kunst</v>
      </c>
      <c r="M11" s="9"/>
      <c r="N11" t="s">
        <v>84</v>
      </c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46034</v>
      </c>
      <c r="D12" s="4" t="str">
        <f t="shared" si="0"/>
        <v>2026-01-12-11.md</v>
      </c>
      <c r="E12" s="4" t="s">
        <v>18</v>
      </c>
      <c r="F12" s="4" t="s">
        <v>30</v>
      </c>
      <c r="G12" t="s">
        <v>44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63</v>
      </c>
      <c r="L12" t="str">
        <f t="shared" si="5"/>
        <v>11-Körper</v>
      </c>
      <c r="M12" s="9" t="s">
        <v>85</v>
      </c>
      <c r="N12" t="s">
        <v>86</v>
      </c>
      <c r="O12" t="s">
        <v>87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46041</v>
      </c>
      <c r="D13" s="4" t="str">
        <f t="shared" si="0"/>
        <v>2026-01-19-12.md</v>
      </c>
      <c r="E13" s="4" t="s">
        <v>19</v>
      </c>
      <c r="F13" s="4" t="s">
        <v>31</v>
      </c>
      <c r="G13" t="s">
        <v>45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58</v>
      </c>
      <c r="L13" t="str">
        <f t="shared" si="5"/>
        <v>12-Digitalisierung</v>
      </c>
      <c r="M13" s="9" t="s">
        <v>71</v>
      </c>
      <c r="N13" t="s">
        <v>89</v>
      </c>
      <c r="O13" t="s">
        <v>88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46048</v>
      </c>
      <c r="D14" s="4" t="str">
        <f t="shared" si="0"/>
        <v>2026-01-26-13.md</v>
      </c>
      <c r="E14" s="4" t="s">
        <v>19</v>
      </c>
      <c r="F14" s="4" t="s">
        <v>32</v>
      </c>
      <c r="G14" t="s">
        <v>46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59</v>
      </c>
      <c r="L14" t="str">
        <f t="shared" si="5"/>
        <v>13-Extremismus</v>
      </c>
      <c r="M14" s="15" t="s">
        <v>93</v>
      </c>
      <c r="N14" t="s">
        <v>91</v>
      </c>
      <c r="O14" t="s">
        <v>92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46055</v>
      </c>
      <c r="D15" s="6" t="str">
        <f t="shared" si="0"/>
        <v>2026-02-02-14.md</v>
      </c>
      <c r="E15" s="4" t="s">
        <v>19</v>
      </c>
      <c r="F15" s="4" t="s">
        <v>33</v>
      </c>
      <c r="G15" t="s">
        <v>47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60</v>
      </c>
      <c r="L15" t="str">
        <f t="shared" si="5"/>
        <v>14-Interreligiös</v>
      </c>
      <c r="M15" s="9" t="s">
        <v>72</v>
      </c>
      <c r="N15" t="s">
        <v>94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46062</v>
      </c>
      <c r="D16" s="6" t="str">
        <f t="shared" si="0"/>
        <v>2026-02-09-15.md</v>
      </c>
      <c r="E16" s="4" t="s">
        <v>19</v>
      </c>
      <c r="F16" s="4" t="s">
        <v>34</v>
      </c>
      <c r="G16" t="s">
        <v>48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61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2025-10-07T15:05:09Z</dcterms:modified>
</cp:coreProperties>
</file>
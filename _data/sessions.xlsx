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5rw/_data/"/>
    </mc:Choice>
  </mc:AlternateContent>
  <xr:revisionPtr revIDLastSave="0" documentId="13_ncr:1_{995AF400-B8BE-2A4E-A11C-999D816B2525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V6" i="1" s="1"/>
  <c r="T7" i="1"/>
  <c r="T8" i="1"/>
  <c r="T9" i="1"/>
  <c r="T10" i="1"/>
  <c r="T11" i="1"/>
  <c r="T12" i="1"/>
  <c r="V12" i="1" s="1"/>
  <c r="T13" i="1"/>
  <c r="T14" i="1"/>
  <c r="V14" i="1" s="1"/>
  <c r="T15" i="1"/>
  <c r="V15" i="1" s="1"/>
  <c r="T16" i="1"/>
  <c r="T2" i="1"/>
  <c r="U2" i="1"/>
  <c r="Q3" i="1"/>
  <c r="R3" i="1"/>
  <c r="S3" i="1"/>
  <c r="V3" i="1" s="1"/>
  <c r="U3" i="1"/>
  <c r="Q4" i="1"/>
  <c r="R4" i="1"/>
  <c r="S4" i="1"/>
  <c r="U4" i="1"/>
  <c r="Q5" i="1"/>
  <c r="R5" i="1"/>
  <c r="S5" i="1"/>
  <c r="V5" i="1" s="1"/>
  <c r="U5" i="1"/>
  <c r="Q6" i="1"/>
  <c r="R6" i="1"/>
  <c r="S6" i="1"/>
  <c r="U6" i="1"/>
  <c r="Q7" i="1"/>
  <c r="R7" i="1"/>
  <c r="S7" i="1"/>
  <c r="V7" i="1"/>
  <c r="U7" i="1"/>
  <c r="Q8" i="1"/>
  <c r="R8" i="1"/>
  <c r="S8" i="1"/>
  <c r="V8" i="1"/>
  <c r="U8" i="1"/>
  <c r="Q9" i="1"/>
  <c r="R9" i="1"/>
  <c r="S9" i="1"/>
  <c r="U9" i="1"/>
  <c r="V9" i="1"/>
  <c r="Q10" i="1"/>
  <c r="R10" i="1"/>
  <c r="S10" i="1"/>
  <c r="V10" i="1"/>
  <c r="U10" i="1"/>
  <c r="Q11" i="1"/>
  <c r="R11" i="1"/>
  <c r="S11" i="1"/>
  <c r="U11" i="1"/>
  <c r="V11" i="1"/>
  <c r="Q12" i="1"/>
  <c r="R12" i="1"/>
  <c r="S12" i="1"/>
  <c r="U12" i="1"/>
  <c r="Q13" i="1"/>
  <c r="R13" i="1"/>
  <c r="S13" i="1"/>
  <c r="U13" i="1"/>
  <c r="V13" i="1"/>
  <c r="Q14" i="1"/>
  <c r="R14" i="1"/>
  <c r="S14" i="1"/>
  <c r="U14" i="1"/>
  <c r="Q15" i="1"/>
  <c r="R15" i="1"/>
  <c r="S15" i="1"/>
  <c r="U15" i="1"/>
  <c r="Q16" i="1"/>
  <c r="R16" i="1"/>
  <c r="S16" i="1"/>
  <c r="V16" i="1"/>
  <c r="U16" i="1"/>
  <c r="S2" i="1"/>
  <c r="V2" i="1" s="1"/>
  <c r="R2" i="1"/>
  <c r="Q2" i="1"/>
  <c r="V4" i="1" l="1"/>
  <c r="D12" i="1"/>
  <c r="D13" i="1"/>
  <c r="D14" i="1"/>
  <c r="D15" i="1"/>
  <c r="D1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L1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D10" i="1"/>
  <c r="D4" i="1"/>
  <c r="D11" i="1"/>
  <c r="D3" i="1"/>
  <c r="D9" i="1"/>
  <c r="D8" i="1"/>
  <c r="D7" i="1"/>
  <c r="D6" i="1"/>
  <c r="D5" i="1"/>
  <c r="D2" i="1"/>
</calcChain>
</file>

<file path=xl/sharedStrings.xml><?xml version="1.0" encoding="utf-8"?>
<sst xmlns="http://schemas.openxmlformats.org/spreadsheetml/2006/main" count="116" uniqueCount="105">
  <si>
    <t>blank</t>
  </si>
  <si>
    <t>session</t>
  </si>
  <si>
    <t>date</t>
  </si>
  <si>
    <t>filename</t>
  </si>
  <si>
    <t>unit</t>
  </si>
  <si>
    <t>topic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</si>
  <si>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</si>
  <si>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</si>
  <si>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</si>
  <si>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</si>
  <si>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</si>
  <si>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</si>
  <si>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</si>
  <si>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</si>
  <si>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concepts</t>
  </si>
  <si>
    <t>long-topic</t>
  </si>
  <si>
    <t>Religion als Gegenstand</t>
  </si>
  <si>
    <t>Gruppen und Autorität</t>
  </si>
  <si>
    <t>Materialität und Körper</t>
  </si>
  <si>
    <t>Religionswissenschaft für heute</t>
  </si>
  <si>
    <t>Vorstellung</t>
  </si>
  <si>
    <t>Definitionen</t>
  </si>
  <si>
    <t>Ritual</t>
  </si>
  <si>
    <t>Gruppen</t>
  </si>
  <si>
    <t>Gender</t>
  </si>
  <si>
    <t>Orthodoxie</t>
  </si>
  <si>
    <t>Schriften</t>
  </si>
  <si>
    <t>Objekte</t>
  </si>
  <si>
    <t>Orte</t>
  </si>
  <si>
    <t>Körper</t>
  </si>
  <si>
    <t>Digitalisierung</t>
  </si>
  <si>
    <t>Extremismus</t>
  </si>
  <si>
    <t>Interreligiös</t>
  </si>
  <si>
    <t>Abschluss</t>
  </si>
  <si>
    <t>Was machen wir hier?</t>
  </si>
  <si>
    <t>Was ist Religion?</t>
  </si>
  <si>
    <t>Was gilt als religiöses Ritual?</t>
  </si>
  <si>
    <t>Wie bilden sich religiöse Gruppen und Autoritäten?</t>
  </si>
  <si>
    <t>Welche Rolle spielt Gender in der Religion?</t>
  </si>
  <si>
    <t>Wer oder was bestimmt die Orthodoxie?</t>
  </si>
  <si>
    <t>Wie werden heilige Schriften überliefert?</t>
  </si>
  <si>
    <t>Welche Rolle spielen materielle Objekte in der Religion?</t>
  </si>
  <si>
    <t>Welche Rolle spielen heilige Orte in der Religion?</t>
  </si>
  <si>
    <t>Welche Wirkung hat die religiöse Praxis auf den Körper?</t>
  </si>
  <si>
    <t>Wie wird Religion digital untersucht?</t>
  </si>
  <si>
    <t>Wie sollte religiöser Extremismus verstanden werden?</t>
  </si>
  <si>
    <t>Sollten Religionswissenschaftler/innen am interreligiösen Dialog mitwirken?</t>
  </si>
  <si>
    <t>Wie gehe ich mit dem erworbenen Wissen um?</t>
  </si>
  <si>
    <t>candle.jpg</t>
  </si>
  <si>
    <t>magnifying-glass.jpg</t>
  </si>
  <si>
    <t>02_Fussball.jpg</t>
  </si>
  <si>
    <t>kaaba.jpg</t>
  </si>
  <si>
    <t>04.MarabouWomen.jpg</t>
  </si>
  <si>
    <t>yezidi.jpg</t>
  </si>
  <si>
    <t>synagogue-scroll.jpg</t>
  </si>
  <si>
    <t>madaba-map.jpg</t>
  </si>
  <si>
    <t>digital.jpg</t>
  </si>
  <si>
    <t>12_iranischeSchiiten.jpeg</t>
  </si>
  <si>
    <t>interreligious-conversation.png</t>
  </si>
  <si>
    <t>girl-bridge.jpg</t>
  </si>
  <si>
    <t>stausbergI1ReligionBegriff2012</t>
  </si>
  <si>
    <t>dhanvantari.jpg</t>
  </si>
  <si>
    <t>mosque.jpg</t>
  </si>
  <si>
    <t>brombergerFussballAlsWeltsicht2003</t>
  </si>
  <si>
    <t>rengerIII7MeisterJuengerUnd2012</t>
  </si>
  <si>
    <t>gemmekeMaraboutWomenDakar2009</t>
  </si>
  <si>
    <t>pelikanWrittenTorahTalmud2006</t>
  </si>
  <si>
    <t>prohlMaterialeReligion2012</t>
  </si>
  <si>
    <t>walker11Pilgrimage2018</t>
  </si>
  <si>
    <t>campbellContextualizingCurrentDigital2020</t>
  </si>
  <si>
    <t>schmiedelInterreligioeserDialogAls2008</t>
  </si>
  <si>
    <t>Verschiedene Definitionen von Religion unterscheiden können, was sie umfassen und wofür sie nützlich sein können.</t>
  </si>
  <si>
    <t>Rituale auf drei Ebenen (Formen, Funktionen, Bedeutungen) anhand von Beispielen schildern können.</t>
  </si>
  <si>
    <t>Historische und gegenwärtige Beispiele der Gruppenbildung anhand eines differenzierten Konzepts von "Meister/Jüngerschaft" erläutern können.</t>
  </si>
  <si>
    <t>Ebenen der Genderforschung erläutern können, auf die die Religionswissenschaft grundlegend eingehen kann.</t>
  </si>
  <si>
    <t>schlieterReligionReligionswissenschaftUnd2012</t>
  </si>
  <si>
    <t>Erklären können, wie Normativitätsansprüche in der Religionswissenschaft untersucht werden können.</t>
  </si>
  <si>
    <t>Die mündliche und schriftliche Dynamik der abrahamitischen Religionen im Verhältnis zueinander zu beschreiben.</t>
  </si>
  <si>
    <t>Leitfrage</t>
  </si>
  <si>
    <t>Erklären können, wie die Forschung an materiellen Objekten den Glauben an das Transzendente greifbar macht.</t>
  </si>
  <si>
    <t>Erklären können, auf welche Weise Orte sakrale Bedeutung erlangen, und diese Bedeutung anhand jüdischer, christlicher und islamischer Beispiele erläutern.</t>
  </si>
  <si>
    <t>Was macht einen Ort für Pilger "heilig"?</t>
  </si>
  <si>
    <t>ladenhaufReligiositaetUndSpiritualitaet2010</t>
  </si>
  <si>
    <t>Religionspsychologische Ansätze zur Krankheit und Heilung schildern.</t>
  </si>
  <si>
    <t>Wie unterscheiden sich religiös-spirituelle Menschen von anderen im Krankheitsprozess?</t>
  </si>
  <si>
    <t>Wie verändern sich die Dynamiken religiöser Identität, Autorität und Gemeinschaft in digitalen Umgebungen? Inwiefern bleiben sie gleich?</t>
  </si>
  <si>
    <t>Verständnis dafür zeigen, wie religiöse Identität, Gemeinschaft und Autorität in Online- und Offline-Umgebungen miteinander verwoben sind.</t>
  </si>
  <si>
    <t>Fundamentalismus, Radikalisierung und Extremismus definieren und Beispiele für jeden Begriff geben.</t>
  </si>
  <si>
    <t>Wie definiert Riesebrodt den Fundamentalismus?</t>
  </si>
  <si>
    <t>riesebrodt11FundamentalismusUnd1990</t>
  </si>
  <si>
    <t>Überlegen und erklären können, inwieweit religionswissenschaftliche Ansätze zum interreligiösen Dialog beitragen können, sollen und dürfen.</t>
  </si>
  <si>
    <t>Religionswissenschaft</t>
  </si>
  <si>
    <t>Was ist die Religionswissenschaft?</t>
  </si>
  <si>
    <t>religionen-lupe.jpg</t>
  </si>
  <si>
    <t>stausbergReligionswissenschaftWarumWas2025</t>
  </si>
  <si>
    <t>Sich gegenseitig kennenlernen und unsere gegenseitige Ziele für den Kurs berücksichtigen.</t>
  </si>
  <si>
    <t>Die Bestimmung des Fachs Religionswissenschaft in seiner Breite und mit seinen Unterschieden zur Theologie erfassen.</t>
  </si>
  <si>
    <t>Was hat die Religionswissenschaft mit Kultur zu tun?</t>
  </si>
  <si>
    <t xml:space="preserve">Was sind 2 Ansätze, die Religion zu definieren? </t>
  </si>
  <si>
    <t>Was haben Fußballrituale mit religiösen Ritualen gemeinsam?</t>
  </si>
  <si>
    <t>slide-filename</t>
  </si>
  <si>
    <t>slide-frontmatter</t>
  </si>
  <si>
    <t>slide-body1</t>
  </si>
  <si>
    <t>slide-body2</t>
  </si>
  <si>
    <t>slide-content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</si>
</sst>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66" formatCode="dd\.mm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7" fillId="0" borderId="1" xfId="0" applyNumberFormat="1" applyFont="1" applyBorder="1" applyAlignment="1">
      <alignment horizontal="left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6" fillId="0" borderId="1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18"/>
  <sheetViews>
    <sheetView tabSelected="1" topLeftCell="F1" zoomScale="150" zoomScaleNormal="140" workbookViewId="0">
      <selection activeCell="N11" sqref="N11"/>
    </sheetView>
  </sheetViews>
  <sheetFormatPr baseColWidth="10" defaultColWidth="8.83203125" defaultRowHeight="15" x14ac:dyDescent="0.2"/>
  <cols>
    <col min="1" max="1" width="12.5" bestFit="1" customWidth="1"/>
    <col min="2" max="2" width="6.6640625" style="5" bestFit="1" customWidth="1"/>
    <col min="3" max="3" width="11.83203125" bestFit="1" customWidth="1"/>
    <col min="4" max="4" width="18.6640625" style="6" customWidth="1"/>
    <col min="5" max="5" width="26.83203125" customWidth="1"/>
    <col min="6" max="7" width="42.6640625" customWidth="1"/>
    <col min="8" max="8" width="61" customWidth="1"/>
    <col min="9" max="9" width="27.1640625" customWidth="1"/>
    <col min="10" max="10" width="13.1640625" style="5" bestFit="1" customWidth="1"/>
    <col min="11" max="11" width="12.5" bestFit="1" customWidth="1"/>
    <col min="12" max="12" width="31.83203125" bestFit="1" customWidth="1"/>
    <col min="13" max="13" width="16.6640625" bestFit="1" customWidth="1"/>
    <col min="14" max="15" width="77.83203125" customWidth="1"/>
    <col min="16" max="16" width="12.5" bestFit="1" customWidth="1"/>
    <col min="17" max="22" width="44.33203125" style="15" customWidth="1"/>
  </cols>
  <sheetData>
    <row r="1" spans="1:22" ht="19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14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78</v>
      </c>
      <c r="P1" s="1" t="s">
        <v>12</v>
      </c>
      <c r="Q1" s="14" t="s">
        <v>13</v>
      </c>
      <c r="R1" s="14" t="s">
        <v>100</v>
      </c>
      <c r="S1" s="14" t="s">
        <v>101</v>
      </c>
      <c r="T1" s="14" t="s">
        <v>102</v>
      </c>
      <c r="U1" s="14" t="s">
        <v>103</v>
      </c>
      <c r="V1" s="14" t="s">
        <v>104</v>
      </c>
    </row>
    <row r="2" spans="1:22" ht="21" customHeight="1" x14ac:dyDescent="0.2">
      <c r="B2" s="3">
        <v>1</v>
      </c>
      <c r="C2" s="8">
        <v>45943</v>
      </c>
      <c r="D2" s="4" t="str">
        <f t="shared" ref="D2:D16" si="0">IF(LEN(C2),TEXT(C2, "YYYY-MM-DD") &amp; "-" &amp; B2 &amp; ".md",)</f>
        <v>2025-10-13-1.md</v>
      </c>
      <c r="E2" s="4" t="s">
        <v>16</v>
      </c>
      <c r="F2" s="4" t="s">
        <v>20</v>
      </c>
      <c r="G2" s="4" t="s">
        <v>34</v>
      </c>
      <c r="H2" s="7"/>
      <c r="I2" t="str">
        <f>B2 &amp; ". " &amp; E2 &amp; ": " &amp; G2</f>
        <v>1. Religion als Gegenstand: Was machen wir hier?</v>
      </c>
      <c r="J2" s="3">
        <f t="shared" ref="J2:J16" si="1">B2</f>
        <v>1</v>
      </c>
      <c r="K2" t="s">
        <v>48</v>
      </c>
      <c r="L2" t="str">
        <f>SUBSTITUTE(SUBSTITUTE(SUBSTITUTE(SUBSTITUTE(B2 &amp; ". " &amp; F2,".",""),"&amp;","")," ","-"),"--","-")</f>
        <v>1-Vorstellung</v>
      </c>
      <c r="N2" t="s">
        <v>95</v>
      </c>
      <c r="P2" t="str">
        <f t="shared" ref="P2:P15" si="2">"["&amp;B2&amp;"]"</f>
        <v>[1]</v>
      </c>
      <c r="Q2" s="15" t="str">
        <f t="shared" ref="Q2" si="3">"---
layout: post
" &amp; B$1 &amp; ": " &amp; B2 &amp; "
" &amp; P$1 &amp; ": " &amp; P2 &amp; "
level: overview
---"</f>
        <v>---
layout: post
session: 1
tags: [1]
level: overview
---</v>
      </c>
      <c r="R2" s="15" t="str">
        <f>_xlfn.REGEXREPLACE(D2,"\.md","-slides.md")</f>
        <v>2025-10-13-1-slides.md</v>
      </c>
      <c r="S2" s="15" t="str">
        <f>"---
layout: reveal
title: '"&amp;G2&amp;"'
author: 'Nathan Gibson'
session: "&amp;B2&amp;"
tags: ["&amp;B2&amp;",slides]
category: slides
image: "&amp;K2&amp;"
parallaxBackgroundImage: 'assets/img/"&amp;K2&amp;"'
---
"</f>
        <v xml:space="preserve">---
layout: reveal
title: 'Was machen wir hier?'
author: 'Nathan Gibson'
session: 1
tags: [1,slides]
category: slides
image: candle.jpg
parallaxBackgroundImage: 'assets/img/candle.jpg'
---
</v>
      </c>
      <c r="T2" s="15" t="str">
        <f>"# Einführung in die 
### Religionswissenschaft
{: .r-fit-text}
### "&amp;G2&amp;"
Wintersemester 2025/2026
Prof. Dr. Nathan Gibson
## 📈 Rückblick: Lernziel
"&amp;N1&amp;"
## 📈 Rückblick: 
## Projekt
## Einleitung
## Heutiges Lernziel
"&amp;N2</f>
        <v># Einführung in die 
### Religionswissenschaft
{: .r-fit-text}
### Was machen wir hier?
Wintersemester 2025/2026
Prof. Dr. Nathan Gibson
## 📈 Rückblick: Lernziel
objective
## 📈 Rückblick: 
## Projekt
## Einleitung
## Heutiges Lernziel
Sich gegenseitig kennenlernen und unsere gegenseitige Ziele für den Kurs berücksichtigen.</v>
      </c>
      <c r="U2" s="15" t="str">
        <f>"
## Lektüre
## Diskussion
## Vorschau
"&amp;G3</f>
        <v xml:space="preserve">
## Lektüre
## Diskussion
## Vorschau
Was ist die Religionswissenschaft?</v>
      </c>
      <c r="V2" s="15" t="str">
        <f>_xlfn.CONCAT(S2:U2)</f>
        <v>---
layout: reveal
title: 'Was machen wir hier?'
author: 'Nathan Gibson'
session: 1
tags: [1,slides]
category: slides
image: candle.jpg
parallaxBackgroundImage: 'assets/img/candle.jpg'
---
# Einführung in die 
### Religionswissenschaft
{: .r-fit-text}
### Was machen wir hier?
Wintersemester 2025/2026
Prof. Dr. Nathan Gibson
## 📈 Rückblick: Lernziel
objective
## 📈 Rückblick: 
## Projekt
## Einleitung
## Heutiges Lernziel
Sich gegenseitig kennenlernen und unsere gegenseitige Ziele für den Kurs berücksichtigen.
## Lektüre
## Diskussion
## Vorschau
Was ist die Religionswissenschaft?</v>
      </c>
    </row>
    <row r="3" spans="1:22" ht="21" customHeight="1" x14ac:dyDescent="0.2">
      <c r="B3" s="3">
        <v>2</v>
      </c>
      <c r="C3" s="8">
        <v>45950</v>
      </c>
      <c r="D3" s="4" t="str">
        <f t="shared" si="0"/>
        <v>2025-10-20-2.md</v>
      </c>
      <c r="E3" s="4" t="s">
        <v>16</v>
      </c>
      <c r="F3" s="4" t="s">
        <v>91</v>
      </c>
      <c r="G3" t="s">
        <v>92</v>
      </c>
      <c r="I3" t="str">
        <f t="shared" ref="I3:I16" si="4">B3 &amp; ". " &amp; E3 &amp; ": " &amp; G3</f>
        <v>2. Religion als Gegenstand: Was ist die Religionswissenschaft?</v>
      </c>
      <c r="J3" s="3">
        <f t="shared" si="1"/>
        <v>2</v>
      </c>
      <c r="K3" t="s">
        <v>93</v>
      </c>
      <c r="L3" t="str">
        <f t="shared" ref="L3:L16" si="5">SUBSTITUTE(SUBSTITUTE(SUBSTITUTE(SUBSTITUTE(B3 &amp; ". " &amp; F3,".",""),"&amp;","")," ","-"),"--","-")</f>
        <v>2-Religionswissenschaft</v>
      </c>
      <c r="M3" s="10" t="s">
        <v>94</v>
      </c>
      <c r="N3" t="s">
        <v>96</v>
      </c>
      <c r="O3" t="s">
        <v>97</v>
      </c>
      <c r="P3" t="str">
        <f t="shared" si="2"/>
        <v>[2]</v>
      </c>
      <c r="Q3" s="15" t="str">
        <f t="shared" ref="Q3:Q16" si="6">"---
layout: post
" &amp; B$1 &amp; ": " &amp; B3 &amp; "
" &amp; P$1 &amp; ": " &amp; P3 &amp; "
level: overview
---"</f>
        <v>---
layout: post
session: 2
tags: [2]
level: overview
---</v>
      </c>
      <c r="R3" s="15" t="str">
        <f t="shared" ref="R3:R16" si="7">_xlfn.REGEXREPLACE(D3,"\.md","-slides.md")</f>
        <v>2025-10-20-2-slides.md</v>
      </c>
      <c r="S3" s="15" t="str">
        <f t="shared" ref="S3:S16" si="8">"---
layout: reveal
title: '"&amp;G3&amp;"'
author: 'Nathan Gibson'
session: "&amp;B3&amp;"
tags: ["&amp;B3&amp;",slides]
category: slides
image: "&amp;K3&amp;"
parallaxBackgroundImage: 'assets/img/"&amp;K3&amp;"'
---
"</f>
        <v xml:space="preserve">---
layout: reveal
title: 'Was ist die Religionswissenschaft?'
author: 'Nathan Gibson'
session: 2
tags: [2,slides]
category: slides
image: religionen-lupe.jpg
parallaxBackgroundImage: 'assets/img/religionen-lupe.jpg'
---
</v>
      </c>
      <c r="T3" s="15" t="str">
        <f t="shared" ref="T3:T16" si="9">"# Einführung in die 
### Religionswissenschaft
{: .r-fit-text}
### "&amp;G3&amp;"
Wintersemester 2025/2026
Prof. Dr. Nathan Gibson
## 📈 Rückblick: Lernziel
"&amp;N2&amp;"
## 📈 Rückblick: 
## Projekt
## Einleitung
## Heutiges Lernziel
"&amp;N3</f>
        <v># Einführung in die 
### Religionswissenschaft
{: .r-fit-text}
### Was ist die Religionswissenschaft?
Wintersemester 2025/2026
Prof. Dr. Nathan Gibson
## 📈 Rückblick: Lernziel
Sich gegenseitig kennenlernen und unsere gegenseitige Ziele für den Kurs berücksichtigen.
## 📈 Rückblick: 
## Projekt
## Einleitung
## Heutiges Lernziel
Die Bestimmung des Fachs Religionswissenschaft in seiner Breite und mit seinen Unterschieden zur Theologie erfassen.</v>
      </c>
      <c r="U3" s="15" t="str">
        <f t="shared" ref="U3:U16" si="10">"
## Lektüre
## Diskussion
## Vorschau
"&amp;G4</f>
        <v xml:space="preserve">
## Lektüre
## Diskussion
## Vorschau
Was ist Religion?</v>
      </c>
      <c r="V3" s="15" t="str">
        <f t="shared" ref="V3:V16" si="11">_xlfn.CONCAT(S3:U3)</f>
        <v>---
layout: reveal
title: 'Was ist die Religionswissenschaft?'
author: 'Nathan Gibson'
session: 2
tags: [2,slides]
category: slides
image: religionen-lupe.jpg
parallaxBackgroundImage: 'assets/img/religionen-lupe.jpg'
---
# Einführung in die 
### Religionswissenschaft
{: .r-fit-text}
### Was ist die Religionswissenschaft?
Wintersemester 2025/2026
Prof. Dr. Nathan Gibson
## 📈 Rückblick: Lernziel
Sich gegenseitig kennenlernen und unsere gegenseitige Ziele für den Kurs berücksichtigen.
## 📈 Rückblick: 
## Projekt
## Einleitung
## Heutiges Lernziel
Die Bestimmung des Fachs Religionswissenschaft in seiner Breite und mit seinen Unterschieden zur Theologie erfassen.
## Lektüre
## Diskussion
## Vorschau
Was ist Religion?</v>
      </c>
    </row>
    <row r="4" spans="1:22" ht="21" customHeight="1" x14ac:dyDescent="0.2">
      <c r="B4" s="3">
        <v>3</v>
      </c>
      <c r="C4" s="8">
        <v>45957</v>
      </c>
      <c r="D4" s="4" t="str">
        <f t="shared" si="0"/>
        <v>2025-10-27-3.md</v>
      </c>
      <c r="E4" s="4" t="s">
        <v>16</v>
      </c>
      <c r="F4" s="4" t="s">
        <v>21</v>
      </c>
      <c r="G4" t="s">
        <v>35</v>
      </c>
      <c r="I4" t="str">
        <f t="shared" si="4"/>
        <v>3. Religion als Gegenstand: Was ist Religion?</v>
      </c>
      <c r="J4" s="3">
        <f t="shared" si="1"/>
        <v>3</v>
      </c>
      <c r="K4" t="s">
        <v>49</v>
      </c>
      <c r="L4" t="str">
        <f t="shared" si="5"/>
        <v>3-Definitionen</v>
      </c>
      <c r="M4" s="10" t="s">
        <v>60</v>
      </c>
      <c r="N4" t="s">
        <v>71</v>
      </c>
      <c r="O4" t="s">
        <v>98</v>
      </c>
      <c r="P4" t="str">
        <f t="shared" si="2"/>
        <v>[3]</v>
      </c>
      <c r="Q4" s="15" t="str">
        <f t="shared" si="6"/>
        <v>---
layout: post
session: 3
tags: [3]
level: overview
---</v>
      </c>
      <c r="R4" s="15" t="str">
        <f t="shared" si="7"/>
        <v>2025-10-27-3-slides.md</v>
      </c>
      <c r="S4" s="15" t="str">
        <f t="shared" si="8"/>
        <v xml:space="preserve">---
layout: reveal
title: 'Was ist Religion?'
author: 'Nathan Gibson'
session: 3
tags: [3,slides]
category: slides
image: magnifying-glass.jpg
parallaxBackgroundImage: 'assets/img/magnifying-glass.jpg'
---
</v>
      </c>
      <c r="T4" s="15" t="str">
        <f t="shared" si="9"/>
        <v># Einführung in die 
### Religionswissenschaft
{: .r-fit-text}
### Was ist Religion?
Wintersemester 2025/2026
Prof. Dr. Nathan Gibson
## 📈 Rückblick: Lernziel
Die Bestimmung des Fachs Religionswissenschaft in seiner Breite und mit seinen Unterschieden zur Theologie erfassen.
## 📈 Rückblick: 
## Projekt
## Einleitung
## Heutiges Lernziel
Verschiedene Definitionen von Religion unterscheiden können, was sie umfassen und wofür sie nützlich sein können.</v>
      </c>
      <c r="U4" s="15" t="str">
        <f t="shared" si="10"/>
        <v xml:space="preserve">
## Lektüre
## Diskussion
## Vorschau
Was gilt als religiöses Ritual?</v>
      </c>
      <c r="V4" s="15" t="str">
        <f t="shared" si="11"/>
        <v>---
layout: reveal
title: 'Was ist Religion?'
author: 'Nathan Gibson'
session: 3
tags: [3,slides]
category: slides
image: magnifying-glass.jpg
parallaxBackgroundImage: 'assets/img/magnifying-glass.jpg'
---
# Einführung in die 
### Religionswissenschaft
{: .r-fit-text}
### Was ist Religion?
Wintersemester 2025/2026
Prof. Dr. Nathan Gibson
## 📈 Rückblick: Lernziel
Die Bestimmung des Fachs Religionswissenschaft in seiner Breite und mit seinen Unterschieden zur Theologie erfassen.
## 📈 Rückblick: 
## Projekt
## Einleitung
## Heutiges Lernziel
Verschiedene Definitionen von Religion unterscheiden können, was sie umfassen und wofür sie nützlich sein können.
## Lektüre
## Diskussion
## Vorschau
Was gilt als religiöses Ritual?</v>
      </c>
    </row>
    <row r="5" spans="1:22" ht="21" customHeight="1" x14ac:dyDescent="0.2">
      <c r="B5" s="3">
        <v>4</v>
      </c>
      <c r="C5" s="8">
        <v>45964</v>
      </c>
      <c r="D5" s="4" t="str">
        <f t="shared" si="0"/>
        <v>2025-11-03-4.md</v>
      </c>
      <c r="E5" s="4" t="s">
        <v>16</v>
      </c>
      <c r="F5" s="4" t="s">
        <v>22</v>
      </c>
      <c r="G5" t="s">
        <v>36</v>
      </c>
      <c r="I5" t="str">
        <f t="shared" si="4"/>
        <v>4. Religion als Gegenstand: Was gilt als religiöses Ritual?</v>
      </c>
      <c r="J5" s="3">
        <f t="shared" si="1"/>
        <v>4</v>
      </c>
      <c r="K5" t="s">
        <v>50</v>
      </c>
      <c r="L5" t="str">
        <f t="shared" si="5"/>
        <v>4-Ritual</v>
      </c>
      <c r="M5" s="11" t="s">
        <v>63</v>
      </c>
      <c r="N5" t="s">
        <v>72</v>
      </c>
      <c r="O5" t="s">
        <v>99</v>
      </c>
      <c r="P5" t="str">
        <f t="shared" si="2"/>
        <v>[4]</v>
      </c>
      <c r="Q5" s="15" t="str">
        <f t="shared" si="6"/>
        <v>---
layout: post
session: 4
tags: [4]
level: overview
---</v>
      </c>
      <c r="R5" s="15" t="str">
        <f t="shared" si="7"/>
        <v>2025-11-03-4-slides.md</v>
      </c>
      <c r="S5" s="15" t="str">
        <f t="shared" si="8"/>
        <v xml:space="preserve">---
layout: reveal
title: 'Was gilt als religiöses Ritual?'
author: 'Nathan Gibson'
session: 4
tags: [4,slides]
category: slides
image: 02_Fussball.jpg
parallaxBackgroundImage: 'assets/img/02_Fussball.jpg'
---
</v>
      </c>
      <c r="T5" s="15" t="str">
        <f t="shared" si="9"/>
        <v># Einführung in die 
### Religionswissenschaft
{: .r-fit-text}
### Was gilt als religiöses Ritual?
Wintersemester 2025/2026
Prof. Dr. Nathan Gibson
## 📈 Rückblick: Lernziel
Verschiedene Definitionen von Religion unterscheiden können, was sie umfassen und wofür sie nützlich sein können.
## 📈 Rückblick: 
## Projekt
## Einleitung
## Heutiges Lernziel
Rituale auf drei Ebenen (Formen, Funktionen, Bedeutungen) anhand von Beispielen schildern können.</v>
      </c>
      <c r="U5" s="15" t="str">
        <f t="shared" si="10"/>
        <v xml:space="preserve">
## Lektüre
## Diskussion
## Vorschau
Wie bilden sich religiöse Gruppen und Autoritäten?</v>
      </c>
      <c r="V5" s="15" t="str">
        <f t="shared" si="11"/>
        <v>---
layout: reveal
title: 'Was gilt als religiöses Ritual?'
author: 'Nathan Gibson'
session: 4
tags: [4,slides]
category: slides
image: 02_Fussball.jpg
parallaxBackgroundImage: 'assets/img/02_Fussball.jpg'
---
# Einführung in die 
### Religionswissenschaft
{: .r-fit-text}
### Was gilt als religiöses Ritual?
Wintersemester 2025/2026
Prof. Dr. Nathan Gibson
## 📈 Rückblick: Lernziel
Verschiedene Definitionen von Religion unterscheiden können, was sie umfassen und wofür sie nützlich sein können.
## 📈 Rückblick: 
## Projekt
## Einleitung
## Heutiges Lernziel
Rituale auf drei Ebenen (Formen, Funktionen, Bedeutungen) anhand von Beispielen schildern können.
## Lektüre
## Diskussion
## Vorschau
Wie bilden sich religiöse Gruppen und Autoritäten?</v>
      </c>
    </row>
    <row r="6" spans="1:22" ht="21" customHeight="1" x14ac:dyDescent="0.2">
      <c r="B6" s="3">
        <v>5</v>
      </c>
      <c r="C6" s="8">
        <v>45971</v>
      </c>
      <c r="D6" s="4" t="str">
        <f t="shared" si="0"/>
        <v>2025-11-10-5.md</v>
      </c>
      <c r="E6" s="4" t="s">
        <v>17</v>
      </c>
      <c r="F6" s="4" t="s">
        <v>23</v>
      </c>
      <c r="G6" t="s">
        <v>37</v>
      </c>
      <c r="I6" t="str">
        <f t="shared" si="4"/>
        <v>5. Gruppen und Autorität: Wie bilden sich religiöse Gruppen und Autoritäten?</v>
      </c>
      <c r="J6" s="3">
        <f t="shared" si="1"/>
        <v>5</v>
      </c>
      <c r="K6" t="s">
        <v>51</v>
      </c>
      <c r="L6" t="str">
        <f t="shared" si="5"/>
        <v>5-Gruppen</v>
      </c>
      <c r="M6" s="9" t="s">
        <v>64</v>
      </c>
      <c r="N6" t="s">
        <v>73</v>
      </c>
      <c r="P6" t="str">
        <f t="shared" si="2"/>
        <v>[5]</v>
      </c>
      <c r="Q6" s="15" t="str">
        <f t="shared" si="6"/>
        <v>---
layout: post
session: 5
tags: [5]
level: overview
---</v>
      </c>
      <c r="R6" s="15" t="str">
        <f t="shared" si="7"/>
        <v>2025-11-10-5-slides.md</v>
      </c>
      <c r="S6" s="15" t="str">
        <f t="shared" si="8"/>
        <v xml:space="preserve">---
layout: reveal
title: 'Wie bilden sich religiöse Gruppen und Autoritäten?'
author: 'Nathan Gibson'
session: 5
tags: [5,slides]
category: slides
image: kaaba.jpg
parallaxBackgroundImage: 'assets/img/kaaba.jpg'
---
</v>
      </c>
      <c r="T6" s="15" t="str">
        <f t="shared" si="9"/>
        <v># Einführung in die 
### Religionswissenschaft
{: .r-fit-text}
### Wie bilden sich religiöse Gruppen und Autoritäten?
Wintersemester 2025/2026
Prof. Dr. Nathan Gibson
## 📈 Rückblick: Lernziel
Rituale auf drei Ebenen (Formen, Funktionen, Bedeutungen) anhand von Beispielen schildern können.
## 📈 Rückblick: 
## Projekt
## Einleitung
## Heutiges Lernziel
Historische und gegenwärtige Beispiele der Gruppenbildung anhand eines differenzierten Konzepts von "Meister/Jüngerschaft" erläutern können.</v>
      </c>
      <c r="U6" s="15" t="str">
        <f t="shared" si="10"/>
        <v xml:space="preserve">
## Lektüre
## Diskussion
## Vorschau
Welche Rolle spielt Gender in der Religion?</v>
      </c>
      <c r="V6" s="15" t="str">
        <f t="shared" si="11"/>
        <v>---
layout: reveal
title: 'Wie bilden sich religiöse Gruppen und Autoritäten?'
author: 'Nathan Gibson'
session: 5
tags: [5,slides]
category: slides
image: kaaba.jpg
parallaxBackgroundImage: 'assets/img/kaaba.jpg'
---
# Einführung in die 
### Religionswissenschaft
{: .r-fit-text}
### Wie bilden sich religiöse Gruppen und Autoritäten?
Wintersemester 2025/2026
Prof. Dr. Nathan Gibson
## 📈 Rückblick: Lernziel
Rituale auf drei Ebenen (Formen, Funktionen, Bedeutungen) anhand von Beispielen schildern können.
## 📈 Rückblick: 
## Projekt
## Einleitung
## Heutiges Lernziel
Historische und gegenwärtige Beispiele der Gruppenbildung anhand eines differenzierten Konzepts von "Meister/Jüngerschaft" erläutern können.
## Lektüre
## Diskussion
## Vorschau
Welche Rolle spielt Gender in der Religion?</v>
      </c>
    </row>
    <row r="7" spans="1:22" ht="21" customHeight="1" x14ac:dyDescent="0.2">
      <c r="B7" s="3">
        <v>6</v>
      </c>
      <c r="C7" s="8">
        <v>45978</v>
      </c>
      <c r="D7" s="4" t="str">
        <f t="shared" si="0"/>
        <v>2025-11-17-6.md</v>
      </c>
      <c r="E7" s="4" t="s">
        <v>17</v>
      </c>
      <c r="F7" s="4" t="s">
        <v>24</v>
      </c>
      <c r="G7" t="s">
        <v>38</v>
      </c>
      <c r="I7" t="str">
        <f t="shared" si="4"/>
        <v>6. Gruppen und Autorität: Welche Rolle spielt Gender in der Religion?</v>
      </c>
      <c r="J7" s="3">
        <f t="shared" si="1"/>
        <v>6</v>
      </c>
      <c r="K7" t="s">
        <v>52</v>
      </c>
      <c r="L7" t="str">
        <f t="shared" si="5"/>
        <v>6-Gender</v>
      </c>
      <c r="M7" s="9" t="s">
        <v>65</v>
      </c>
      <c r="N7" t="s">
        <v>74</v>
      </c>
      <c r="P7" t="str">
        <f t="shared" si="2"/>
        <v>[6]</v>
      </c>
      <c r="Q7" s="15" t="str">
        <f t="shared" si="6"/>
        <v>---
layout: post
session: 6
tags: [6]
level: overview
---</v>
      </c>
      <c r="R7" s="15" t="str">
        <f t="shared" si="7"/>
        <v>2025-11-17-6-slides.md</v>
      </c>
      <c r="S7" s="15" t="str">
        <f t="shared" si="8"/>
        <v xml:space="preserve">---
layout: reveal
title: 'Welche Rolle spielt Gender in der Religion?'
author: 'Nathan Gibson'
session: 6
tags: [6,slides]
category: slides
image: 04.MarabouWomen.jpg
parallaxBackgroundImage: 'assets/img/04.MarabouWomen.jpg'
---
</v>
      </c>
      <c r="T7" s="15" t="str">
        <f t="shared" si="9"/>
        <v># Einführung in die 
### Religionswissenschaft
{: .r-fit-text}
### Welche Rolle spielt Gender in der Religion?
Wintersemester 2025/2026
Prof. Dr. Nathan Gibson
## 📈 Rückblick: Lernziel
Historische und gegenwärtige Beispiele der Gruppenbildung anhand eines differenzierten Konzepts von "Meister/Jüngerschaft" erläutern können.
## 📈 Rückblick: 
## Projekt
## Einleitung
## Heutiges Lernziel
Ebenen der Genderforschung erläutern können, auf die die Religionswissenschaft grundlegend eingehen kann.</v>
      </c>
      <c r="U7" s="15" t="str">
        <f t="shared" si="10"/>
        <v xml:space="preserve">
## Lektüre
## Diskussion
## Vorschau
Wer oder was bestimmt die Orthodoxie?</v>
      </c>
      <c r="V7" s="15" t="str">
        <f t="shared" si="11"/>
        <v>---
layout: reveal
title: 'Welche Rolle spielt Gender in der Religion?'
author: 'Nathan Gibson'
session: 6
tags: [6,slides]
category: slides
image: 04.MarabouWomen.jpg
parallaxBackgroundImage: 'assets/img/04.MarabouWomen.jpg'
---
# Einführung in die 
### Religionswissenschaft
{: .r-fit-text}
### Welche Rolle spielt Gender in der Religion?
Wintersemester 2025/2026
Prof. Dr. Nathan Gibson
## 📈 Rückblick: Lernziel
Historische und gegenwärtige Beispiele der Gruppenbildung anhand eines differenzierten Konzepts von "Meister/Jüngerschaft" erläutern können.
## 📈 Rückblick: 
## Projekt
## Einleitung
## Heutiges Lernziel
Ebenen der Genderforschung erläutern können, auf die die Religionswissenschaft grundlegend eingehen kann.
## Lektüre
## Diskussion
## Vorschau
Wer oder was bestimmt die Orthodoxie?</v>
      </c>
    </row>
    <row r="8" spans="1:22" ht="21" customHeight="1" x14ac:dyDescent="0.2">
      <c r="B8" s="3">
        <v>7</v>
      </c>
      <c r="C8" s="8">
        <v>45985</v>
      </c>
      <c r="D8" s="4" t="str">
        <f t="shared" si="0"/>
        <v>2025-11-24-7.md</v>
      </c>
      <c r="E8" s="4" t="s">
        <v>17</v>
      </c>
      <c r="F8" s="4" t="s">
        <v>25</v>
      </c>
      <c r="G8" t="s">
        <v>39</v>
      </c>
      <c r="I8" t="str">
        <f t="shared" si="4"/>
        <v>7. Gruppen und Autorität: Wer oder was bestimmt die Orthodoxie?</v>
      </c>
      <c r="J8" s="3">
        <f t="shared" si="1"/>
        <v>7</v>
      </c>
      <c r="K8" t="s">
        <v>53</v>
      </c>
      <c r="L8" t="str">
        <f t="shared" si="5"/>
        <v>7-Orthodoxie</v>
      </c>
      <c r="M8" s="12" t="s">
        <v>75</v>
      </c>
      <c r="N8" t="s">
        <v>76</v>
      </c>
      <c r="P8" t="str">
        <f t="shared" si="2"/>
        <v>[7]</v>
      </c>
      <c r="Q8" s="15" t="str">
        <f t="shared" si="6"/>
        <v>---
layout: post
session: 7
tags: [7]
level: overview
---</v>
      </c>
      <c r="R8" s="15" t="str">
        <f t="shared" si="7"/>
        <v>2025-11-24-7-slides.md</v>
      </c>
      <c r="S8" s="15" t="str">
        <f t="shared" si="8"/>
        <v xml:space="preserve">---
layout: reveal
title: 'Wer oder was bestimmt die Orthodoxie?'
author: 'Nathan Gibson'
session: 7
tags: [7,slides]
category: slides
image: yezidi.jpg
parallaxBackgroundImage: 'assets/img/yezidi.jpg'
---
</v>
      </c>
      <c r="T8" s="15" t="str">
        <f t="shared" si="9"/>
        <v># Einführung in die 
### Religionswissenschaft
{: .r-fit-text}
### Wer oder was bestimmt die Orthodoxie?
Wintersemester 2025/2026
Prof. Dr. Nathan Gibson
## 📈 Rückblick: Lernziel
Ebenen der Genderforschung erläutern können, auf die die Religionswissenschaft grundlegend eingehen kann.
## 📈 Rückblick: 
## Projekt
## Einleitung
## Heutiges Lernziel
Erklären können, wie Normativitätsansprüche in der Religionswissenschaft untersucht werden können.</v>
      </c>
      <c r="U8" s="15" t="str">
        <f t="shared" si="10"/>
        <v xml:space="preserve">
## Lektüre
## Diskussion
## Vorschau
Wie werden heilige Schriften überliefert?</v>
      </c>
      <c r="V8" s="15" t="str">
        <f t="shared" si="11"/>
        <v>---
layout: reveal
title: 'Wer oder was bestimmt die Orthodoxie?'
author: 'Nathan Gibson'
session: 7
tags: [7,slides]
category: slides
image: yezidi.jpg
parallaxBackgroundImage: 'assets/img/yezidi.jpg'
---
# Einführung in die 
### Religionswissenschaft
{: .r-fit-text}
### Wer oder was bestimmt die Orthodoxie?
Wintersemester 2025/2026
Prof. Dr. Nathan Gibson
## 📈 Rückblick: Lernziel
Ebenen der Genderforschung erläutern können, auf die die Religionswissenschaft grundlegend eingehen kann.
## 📈 Rückblick: 
## Projekt
## Einleitung
## Heutiges Lernziel
Erklären können, wie Normativitätsansprüche in der Religionswissenschaft untersucht werden können.
## Lektüre
## Diskussion
## Vorschau
Wie werden heilige Schriften überliefert?</v>
      </c>
    </row>
    <row r="9" spans="1:22" ht="21" customHeight="1" x14ac:dyDescent="0.2">
      <c r="B9" s="3">
        <v>8</v>
      </c>
      <c r="C9" s="8">
        <v>45992</v>
      </c>
      <c r="D9" s="4" t="str">
        <f t="shared" si="0"/>
        <v>2025-12-01-8.md</v>
      </c>
      <c r="E9" s="4" t="s">
        <v>18</v>
      </c>
      <c r="F9" s="4" t="s">
        <v>26</v>
      </c>
      <c r="G9" t="s">
        <v>40</v>
      </c>
      <c r="I9" t="str">
        <f t="shared" si="4"/>
        <v>8. Materialität und Körper: Wie werden heilige Schriften überliefert?</v>
      </c>
      <c r="J9" s="3">
        <f t="shared" si="1"/>
        <v>8</v>
      </c>
      <c r="K9" t="s">
        <v>54</v>
      </c>
      <c r="L9" t="str">
        <f t="shared" si="5"/>
        <v>8-Schriften</v>
      </c>
      <c r="M9" s="9" t="s">
        <v>66</v>
      </c>
      <c r="N9" t="s">
        <v>77</v>
      </c>
      <c r="P9" t="str">
        <f t="shared" si="2"/>
        <v>[8]</v>
      </c>
      <c r="Q9" s="15" t="str">
        <f t="shared" si="6"/>
        <v>---
layout: post
session: 8
tags: [8]
level: overview
---</v>
      </c>
      <c r="R9" s="15" t="str">
        <f t="shared" si="7"/>
        <v>2025-12-01-8-slides.md</v>
      </c>
      <c r="S9" s="15" t="str">
        <f t="shared" si="8"/>
        <v xml:space="preserve">---
layout: reveal
title: 'Wie werden heilige Schriften überliefert?'
author: 'Nathan Gibson'
session: 8
tags: [8,slides]
category: slides
image: synagogue-scroll.jpg
parallaxBackgroundImage: 'assets/img/synagogue-scroll.jpg'
---
</v>
      </c>
      <c r="T9" s="15" t="str">
        <f t="shared" si="9"/>
        <v># Einführung in die 
### Religionswissenschaft
{: .r-fit-text}
### Wie werden heilige Schriften überliefert?
Wintersemester 2025/2026
Prof. Dr. Nathan Gibson
## 📈 Rückblick: Lernziel
Erklären können, wie Normativitätsansprüche in der Religionswissenschaft untersucht werden können.
## 📈 Rückblick: 
## Projekt
## Einleitung
## Heutiges Lernziel
Die mündliche und schriftliche Dynamik der abrahamitischen Religionen im Verhältnis zueinander zu beschreiben.</v>
      </c>
      <c r="U9" s="15" t="str">
        <f t="shared" si="10"/>
        <v xml:space="preserve">
## Lektüre
## Diskussion
## Vorschau
Welche Rolle spielen materielle Objekte in der Religion?</v>
      </c>
      <c r="V9" s="15" t="str">
        <f t="shared" si="11"/>
        <v>---
layout: reveal
title: 'Wie werden heilige Schriften überliefert?'
author: 'Nathan Gibson'
session: 8
tags: [8,slides]
category: slides
image: synagogue-scroll.jpg
parallaxBackgroundImage: 'assets/img/synagogue-scroll.jpg'
---
# Einführung in die 
### Religionswissenschaft
{: .r-fit-text}
### Wie werden heilige Schriften überliefert?
Wintersemester 2025/2026
Prof. Dr. Nathan Gibson
## 📈 Rückblick: Lernziel
Erklären können, wie Normativitätsansprüche in der Religionswissenschaft untersucht werden können.
## 📈 Rückblick: 
## Projekt
## Einleitung
## Heutiges Lernziel
Die mündliche und schriftliche Dynamik der abrahamitischen Religionen im Verhältnis zueinander zu beschreiben.
## Lektüre
## Diskussion
## Vorschau
Welche Rolle spielen materielle Objekte in der Religion?</v>
      </c>
    </row>
    <row r="10" spans="1:22" ht="21" customHeight="1" x14ac:dyDescent="0.2">
      <c r="B10" s="3">
        <v>9</v>
      </c>
      <c r="C10" s="8">
        <v>45999</v>
      </c>
      <c r="D10" s="4" t="str">
        <f t="shared" si="0"/>
        <v>2025-12-08-9.md</v>
      </c>
      <c r="E10" s="4" t="s">
        <v>18</v>
      </c>
      <c r="F10" s="4" t="s">
        <v>27</v>
      </c>
      <c r="G10" t="s">
        <v>41</v>
      </c>
      <c r="I10" t="str">
        <f t="shared" si="4"/>
        <v>9. Materialität und Körper: Welche Rolle spielen materielle Objekte in der Religion?</v>
      </c>
      <c r="J10" s="3">
        <f t="shared" si="1"/>
        <v>9</v>
      </c>
      <c r="K10" t="s">
        <v>62</v>
      </c>
      <c r="L10" t="str">
        <f t="shared" si="5"/>
        <v>9-Objekte</v>
      </c>
      <c r="M10" s="9" t="s">
        <v>67</v>
      </c>
      <c r="N10" t="s">
        <v>79</v>
      </c>
      <c r="P10" t="str">
        <f t="shared" si="2"/>
        <v>[9]</v>
      </c>
      <c r="Q10" s="15" t="str">
        <f t="shared" si="6"/>
        <v>---
layout: post
session: 9
tags: [9]
level: overview
---</v>
      </c>
      <c r="R10" s="15" t="str">
        <f t="shared" si="7"/>
        <v>2025-12-08-9-slides.md</v>
      </c>
      <c r="S10" s="15" t="str">
        <f t="shared" si="8"/>
        <v xml:space="preserve">---
layout: reveal
title: 'Welche Rolle spielen materielle Objekte in der Religion?'
author: 'Nathan Gibson'
session: 9
tags: [9,slides]
category: slides
image: mosque.jpg
parallaxBackgroundImage: 'assets/img/mosque.jpg'
---
</v>
      </c>
      <c r="T10" s="15" t="str">
        <f t="shared" si="9"/>
        <v># Einführung in die 
### Religionswissenschaft
{: .r-fit-text}
### Welche Rolle spielen materielle Objekte in der Religion?
Wintersemester 2025/2026
Prof. Dr. Nathan Gibson
## 📈 Rückblick: Lernziel
Die mündliche und schriftliche Dynamik der abrahamitischen Religionen im Verhältnis zueinander zu beschreiben.
## 📈 Rückblick: 
## Projekt
## Einleitung
## Heutiges Lernziel
Erklären können, wie die Forschung an materiellen Objekten den Glauben an das Transzendente greifbar macht.</v>
      </c>
      <c r="U10" s="15" t="str">
        <f t="shared" si="10"/>
        <v xml:space="preserve">
## Lektüre
## Diskussion
## Vorschau
Welche Rolle spielen heilige Orte in der Religion?</v>
      </c>
      <c r="V10" s="15" t="str">
        <f t="shared" si="11"/>
        <v>---
layout: reveal
title: 'Welche Rolle spielen materielle Objekte in der Religion?'
author: 'Nathan Gibson'
session: 9
tags: [9,slides]
category: slides
image: mosque.jpg
parallaxBackgroundImage: 'assets/img/mosque.jpg'
---
# Einführung in die 
### Religionswissenschaft
{: .r-fit-text}
### Welche Rolle spielen materielle Objekte in der Religion?
Wintersemester 2025/2026
Prof. Dr. Nathan Gibson
## 📈 Rückblick: Lernziel
Die mündliche und schriftliche Dynamik der abrahamitischen Religionen im Verhältnis zueinander zu beschreiben.
## 📈 Rückblick: 
## Projekt
## Einleitung
## Heutiges Lernziel
Erklären können, wie die Forschung an materiellen Objekten den Glauben an das Transzendente greifbar macht.
## Lektüre
## Diskussion
## Vorschau
Welche Rolle spielen heilige Orte in der Religion?</v>
      </c>
    </row>
    <row r="11" spans="1:22" ht="21" customHeight="1" x14ac:dyDescent="0.2">
      <c r="B11" s="3">
        <v>10</v>
      </c>
      <c r="C11" s="8">
        <v>46006</v>
      </c>
      <c r="D11" s="4" t="str">
        <f t="shared" si="0"/>
        <v>2025-12-15-10.md</v>
      </c>
      <c r="E11" s="4" t="s">
        <v>18</v>
      </c>
      <c r="F11" s="4" t="s">
        <v>28</v>
      </c>
      <c r="G11" t="s">
        <v>42</v>
      </c>
      <c r="I11" t="str">
        <f t="shared" si="4"/>
        <v>10. Materialität und Körper: Welche Rolle spielen heilige Orte in der Religion?</v>
      </c>
      <c r="J11" s="3">
        <f t="shared" si="1"/>
        <v>10</v>
      </c>
      <c r="K11" t="s">
        <v>55</v>
      </c>
      <c r="L11" t="str">
        <f t="shared" si="5"/>
        <v>10-Orte</v>
      </c>
      <c r="M11" s="9" t="s">
        <v>68</v>
      </c>
      <c r="N11" t="s">
        <v>80</v>
      </c>
      <c r="O11" t="s">
        <v>81</v>
      </c>
      <c r="P11" t="str">
        <f t="shared" si="2"/>
        <v>[10]</v>
      </c>
      <c r="Q11" s="15" t="str">
        <f t="shared" si="6"/>
        <v>---
layout: post
session: 10
tags: [10]
level: overview
---</v>
      </c>
      <c r="R11" s="15" t="str">
        <f t="shared" si="7"/>
        <v>2025-12-15-10-slides.md</v>
      </c>
      <c r="S11" s="15" t="str">
        <f t="shared" si="8"/>
        <v xml:space="preserve">---
layout: reveal
title: 'Welche Rolle spielen heilige Orte in der Religion?'
author: 'Nathan Gibson'
session: 10
tags: [10,slides]
category: slides
image: madaba-map.jpg
parallaxBackgroundImage: 'assets/img/madaba-map.jpg'
---
</v>
      </c>
      <c r="T11" s="15" t="str">
        <f t="shared" si="9"/>
        <v># Einführung in die 
### Religionswissenschaft
{: .r-fit-text}
### Welche Rolle spielen heilige Orte in der Religion?
Wintersemester 2025/2026
Prof. Dr. Nathan Gibson
## 📈 Rückblick: Lernziel
Erklären können, wie die Forschung an materiellen Objekten den Glauben an das Transzendente greifbar macht.
## 📈 Rückblick: 
## Projekt
## Einleitung
## Heutiges Lernziel
Erklären können, auf welche Weise Orte sakrale Bedeutung erlangen, und diese Bedeutung anhand jüdischer, christlicher und islamischer Beispiele erläutern.</v>
      </c>
      <c r="U11" s="15" t="str">
        <f t="shared" si="10"/>
        <v xml:space="preserve">
## Lektüre
## Diskussion
## Vorschau
Welche Wirkung hat die religiöse Praxis auf den Körper?</v>
      </c>
      <c r="V11" s="15" t="str">
        <f t="shared" si="11"/>
        <v>---
layout: reveal
title: 'Welche Rolle spielen heilige Orte in der Religion?'
author: 'Nathan Gibson'
session: 10
tags: [10,slides]
category: slides
image: madaba-map.jpg
parallaxBackgroundImage: 'assets/img/madaba-map.jpg'
---
# Einführung in die 
### Religionswissenschaft
{: .r-fit-text}
### Welche Rolle spielen heilige Orte in der Religion?
Wintersemester 2025/2026
Prof. Dr. Nathan Gibson
## 📈 Rückblick: Lernziel
Erklären können, wie die Forschung an materiellen Objekten den Glauben an das Transzendente greifbar macht.
## 📈 Rückblick: 
## Projekt
## Einleitung
## Heutiges Lernziel
Erklären können, auf welche Weise Orte sakrale Bedeutung erlangen, und diese Bedeutung anhand jüdischer, christlicher und islamischer Beispiele erläutern.
## Lektüre
## Diskussion
## Vorschau
Welche Wirkung hat die religiöse Praxis auf den Körper?</v>
      </c>
    </row>
    <row r="12" spans="1:22" ht="21" customHeight="1" x14ac:dyDescent="0.2">
      <c r="B12" s="3">
        <v>11</v>
      </c>
      <c r="C12" s="8">
        <v>46034</v>
      </c>
      <c r="D12" s="4" t="str">
        <f t="shared" si="0"/>
        <v>2026-01-12-11.md</v>
      </c>
      <c r="E12" s="4" t="s">
        <v>18</v>
      </c>
      <c r="F12" s="4" t="s">
        <v>29</v>
      </c>
      <c r="G12" t="s">
        <v>43</v>
      </c>
      <c r="I12" t="str">
        <f t="shared" si="4"/>
        <v>11. Materialität und Körper: Welche Wirkung hat die religiöse Praxis auf den Körper?</v>
      </c>
      <c r="J12" s="3">
        <f t="shared" si="1"/>
        <v>11</v>
      </c>
      <c r="K12" t="s">
        <v>61</v>
      </c>
      <c r="L12" t="str">
        <f t="shared" si="5"/>
        <v>11-Körper</v>
      </c>
      <c r="M12" s="9" t="s">
        <v>82</v>
      </c>
      <c r="N12" t="s">
        <v>83</v>
      </c>
      <c r="O12" t="s">
        <v>84</v>
      </c>
      <c r="P12" t="str">
        <f t="shared" si="2"/>
        <v>[11]</v>
      </c>
      <c r="Q12" s="15" t="str">
        <f t="shared" si="6"/>
        <v>---
layout: post
session: 11
tags: [11]
level: overview
---</v>
      </c>
      <c r="R12" s="15" t="str">
        <f t="shared" si="7"/>
        <v>2026-01-12-11-slides.md</v>
      </c>
      <c r="S12" s="15" t="str">
        <f t="shared" si="8"/>
        <v xml:space="preserve">---
layout: reveal
title: 'Welche Wirkung hat die religiöse Praxis auf den Körper?'
author: 'Nathan Gibson'
session: 11
tags: [11,slides]
category: slides
image: dhanvantari.jpg
parallaxBackgroundImage: 'assets/img/dhanvantari.jpg'
---
</v>
      </c>
      <c r="T12" s="15" t="str">
        <f t="shared" si="9"/>
        <v># Einführung in die 
### Religionswissenschaft
{: .r-fit-text}
### Welche Wirkung hat die religiöse Praxis auf den Körper?
Wintersemester 2025/2026
Prof. Dr. Nathan Gibson
## 📈 Rückblick: Lernziel
Erklären können, auf welche Weise Orte sakrale Bedeutung erlangen, und diese Bedeutung anhand jüdischer, christlicher und islamischer Beispiele erläutern.
## 📈 Rückblick: 
## Projekt
## Einleitung
## Heutiges Lernziel
Religionspsychologische Ansätze zur Krankheit und Heilung schildern.</v>
      </c>
      <c r="U12" s="15" t="str">
        <f t="shared" si="10"/>
        <v xml:space="preserve">
## Lektüre
## Diskussion
## Vorschau
Wie wird Religion digital untersucht?</v>
      </c>
      <c r="V12" s="15" t="str">
        <f t="shared" si="11"/>
        <v>---
layout: reveal
title: 'Welche Wirkung hat die religiöse Praxis auf den Körper?'
author: 'Nathan Gibson'
session: 11
tags: [11,slides]
category: slides
image: dhanvantari.jpg
parallaxBackgroundImage: 'assets/img/dhanvantari.jpg'
---
# Einführung in die 
### Religionswissenschaft
{: .r-fit-text}
### Welche Wirkung hat die religiöse Praxis auf den Körper?
Wintersemester 2025/2026
Prof. Dr. Nathan Gibson
## 📈 Rückblick: Lernziel
Erklären können, auf welche Weise Orte sakrale Bedeutung erlangen, und diese Bedeutung anhand jüdischer, christlicher und islamischer Beispiele erläutern.
## 📈 Rückblick: 
## Projekt
## Einleitung
## Heutiges Lernziel
Religionspsychologische Ansätze zur Krankheit und Heilung schildern.
## Lektüre
## Diskussion
## Vorschau
Wie wird Religion digital untersucht?</v>
      </c>
    </row>
    <row r="13" spans="1:22" ht="21" customHeight="1" x14ac:dyDescent="0.2">
      <c r="B13" s="3">
        <v>12</v>
      </c>
      <c r="C13" s="8">
        <v>46041</v>
      </c>
      <c r="D13" s="4" t="str">
        <f t="shared" si="0"/>
        <v>2026-01-19-12.md</v>
      </c>
      <c r="E13" s="4" t="s">
        <v>19</v>
      </c>
      <c r="F13" s="4" t="s">
        <v>30</v>
      </c>
      <c r="G13" t="s">
        <v>44</v>
      </c>
      <c r="I13" t="str">
        <f t="shared" si="4"/>
        <v>12. Religionswissenschaft für heute: Wie wird Religion digital untersucht?</v>
      </c>
      <c r="J13" s="3">
        <f t="shared" si="1"/>
        <v>12</v>
      </c>
      <c r="K13" t="s">
        <v>56</v>
      </c>
      <c r="L13" t="str">
        <f t="shared" si="5"/>
        <v>12-Digitalisierung</v>
      </c>
      <c r="M13" s="9" t="s">
        <v>69</v>
      </c>
      <c r="N13" t="s">
        <v>86</v>
      </c>
      <c r="O13" t="s">
        <v>85</v>
      </c>
      <c r="P13" t="str">
        <f t="shared" si="2"/>
        <v>[12]</v>
      </c>
      <c r="Q13" s="15" t="str">
        <f t="shared" si="6"/>
        <v>---
layout: post
session: 12
tags: [12]
level: overview
---</v>
      </c>
      <c r="R13" s="15" t="str">
        <f t="shared" si="7"/>
        <v>2026-01-19-12-slides.md</v>
      </c>
      <c r="S13" s="15" t="str">
        <f t="shared" si="8"/>
        <v xml:space="preserve">---
layout: reveal
title: 'Wie wird Religion digital untersucht?'
author: 'Nathan Gibson'
session: 12
tags: [12,slides]
category: slides
image: digital.jpg
parallaxBackgroundImage: 'assets/img/digital.jpg'
---
</v>
      </c>
      <c r="T13" s="15" t="str">
        <f t="shared" si="9"/>
        <v># Einführung in die 
### Religionswissenschaft
{: .r-fit-text}
### Wie wird Religion digital untersucht?
Wintersemester 2025/2026
Prof. Dr. Nathan Gibson
## 📈 Rückblick: Lernziel
Religionspsychologische Ansätze zur Krankheit und Heilung schildern.
## 📈 Rückblick: 
## Projekt
## Einleitung
## Heutiges Lernziel
Verständnis dafür zeigen, wie religiöse Identität, Gemeinschaft und Autorität in Online- und Offline-Umgebungen miteinander verwoben sind.</v>
      </c>
      <c r="U13" s="15" t="str">
        <f t="shared" si="10"/>
        <v xml:space="preserve">
## Lektüre
## Diskussion
## Vorschau
Wie sollte religiöser Extremismus verstanden werden?</v>
      </c>
      <c r="V13" s="15" t="str">
        <f t="shared" si="11"/>
        <v>---
layout: reveal
title: 'Wie wird Religion digital untersucht?'
author: 'Nathan Gibson'
session: 12
tags: [12,slides]
category: slides
image: digital.jpg
parallaxBackgroundImage: 'assets/img/digital.jpg'
---
# Einführung in die 
### Religionswissenschaft
{: .r-fit-text}
### Wie wird Religion digital untersucht?
Wintersemester 2025/2026
Prof. Dr. Nathan Gibson
## 📈 Rückblick: Lernziel
Religionspsychologische Ansätze zur Krankheit und Heilung schildern.
## 📈 Rückblick: 
## Projekt
## Einleitung
## Heutiges Lernziel
Verständnis dafür zeigen, wie religiöse Identität, Gemeinschaft und Autorität in Online- und Offline-Umgebungen miteinander verwoben sind.
## Lektüre
## Diskussion
## Vorschau
Wie sollte religiöser Extremismus verstanden werden?</v>
      </c>
    </row>
    <row r="14" spans="1:22" ht="21" customHeight="1" x14ac:dyDescent="0.2">
      <c r="B14" s="5">
        <v>13</v>
      </c>
      <c r="C14" s="8">
        <v>46048</v>
      </c>
      <c r="D14" s="4" t="str">
        <f t="shared" si="0"/>
        <v>2026-01-26-13.md</v>
      </c>
      <c r="E14" s="4" t="s">
        <v>19</v>
      </c>
      <c r="F14" s="4" t="s">
        <v>31</v>
      </c>
      <c r="G14" t="s">
        <v>45</v>
      </c>
      <c r="I14" t="str">
        <f t="shared" si="4"/>
        <v>13. Religionswissenschaft für heute: Wie sollte religiöser Extremismus verstanden werden?</v>
      </c>
      <c r="J14" s="3">
        <f t="shared" si="1"/>
        <v>13</v>
      </c>
      <c r="K14" t="s">
        <v>57</v>
      </c>
      <c r="L14" t="str">
        <f t="shared" si="5"/>
        <v>13-Extremismus</v>
      </c>
      <c r="M14" s="13" t="s">
        <v>89</v>
      </c>
      <c r="N14" t="s">
        <v>87</v>
      </c>
      <c r="O14" t="s">
        <v>88</v>
      </c>
      <c r="P14" t="str">
        <f t="shared" si="2"/>
        <v>[13]</v>
      </c>
      <c r="Q14" s="15" t="str">
        <f t="shared" si="6"/>
        <v>---
layout: post
session: 13
tags: [13]
level: overview
---</v>
      </c>
      <c r="R14" s="15" t="str">
        <f t="shared" si="7"/>
        <v>2026-01-26-13-slides.md</v>
      </c>
      <c r="S14" s="15" t="str">
        <f t="shared" si="8"/>
        <v xml:space="preserve">---
layout: reveal
title: 'Wie sollte religiöser Extremismus verstanden werden?'
author: 'Nathan Gibson'
session: 13
tags: [13,slides]
category: slides
image: 12_iranischeSchiiten.jpeg
parallaxBackgroundImage: 'assets/img/12_iranischeSchiiten.jpeg'
---
</v>
      </c>
      <c r="T14" s="15" t="str">
        <f t="shared" si="9"/>
        <v># Einführung in die 
### Religionswissenschaft
{: .r-fit-text}
### Wie sollte religiöser Extremismus verstanden werden?
Wintersemester 2025/2026
Prof. Dr. Nathan Gibson
## 📈 Rückblick: Lernziel
Verständnis dafür zeigen, wie religiöse Identität, Gemeinschaft und Autorität in Online- und Offline-Umgebungen miteinander verwoben sind.
## 📈 Rückblick: 
## Projekt
## Einleitung
## Heutiges Lernziel
Fundamentalismus, Radikalisierung und Extremismus definieren und Beispiele für jeden Begriff geben.</v>
      </c>
      <c r="U14" s="15" t="str">
        <f t="shared" si="10"/>
        <v xml:space="preserve">
## Lektüre
## Diskussion
## Vorschau
Sollten Religionswissenschaftler/innen am interreligiösen Dialog mitwirken?</v>
      </c>
      <c r="V14" s="15" t="str">
        <f t="shared" si="11"/>
        <v>---
layout: reveal
title: 'Wie sollte religiöser Extremismus verstanden werden?'
author: 'Nathan Gibson'
session: 13
tags: [13,slides]
category: slides
image: 12_iranischeSchiiten.jpeg
parallaxBackgroundImage: 'assets/img/12_iranischeSchiiten.jpeg'
---
# Einführung in die 
### Religionswissenschaft
{: .r-fit-text}
### Wie sollte religiöser Extremismus verstanden werden?
Wintersemester 2025/2026
Prof. Dr. Nathan Gibson
## 📈 Rückblick: Lernziel
Verständnis dafür zeigen, wie religiöse Identität, Gemeinschaft und Autorität in Online- und Offline-Umgebungen miteinander verwoben sind.
## 📈 Rückblick: 
## Projekt
## Einleitung
## Heutiges Lernziel
Fundamentalismus, Radikalisierung und Extremismus definieren und Beispiele für jeden Begriff geben.
## Lektüre
## Diskussion
## Vorschau
Sollten Religionswissenschaftler/innen am interreligiösen Dialog mitwirken?</v>
      </c>
    </row>
    <row r="15" spans="1:22" ht="21" customHeight="1" x14ac:dyDescent="0.2">
      <c r="B15" s="5">
        <v>14</v>
      </c>
      <c r="C15" s="8">
        <v>46055</v>
      </c>
      <c r="D15" s="6" t="str">
        <f t="shared" si="0"/>
        <v>2026-02-02-14.md</v>
      </c>
      <c r="E15" s="4" t="s">
        <v>19</v>
      </c>
      <c r="F15" s="4" t="s">
        <v>32</v>
      </c>
      <c r="G15" t="s">
        <v>46</v>
      </c>
      <c r="I15" t="str">
        <f t="shared" si="4"/>
        <v>14. Religionswissenschaft für heute: Sollten Religionswissenschaftler/innen am interreligiösen Dialog mitwirken?</v>
      </c>
      <c r="J15" s="5">
        <f t="shared" si="1"/>
        <v>14</v>
      </c>
      <c r="K15" t="s">
        <v>58</v>
      </c>
      <c r="L15" t="str">
        <f t="shared" si="5"/>
        <v>14-Interreligiös</v>
      </c>
      <c r="M15" s="9" t="s">
        <v>70</v>
      </c>
      <c r="N15" t="s">
        <v>90</v>
      </c>
      <c r="P15" t="str">
        <f t="shared" si="2"/>
        <v>[14]</v>
      </c>
      <c r="Q15" s="15" t="str">
        <f t="shared" si="6"/>
        <v>---
layout: post
session: 14
tags: [14]
level: overview
---</v>
      </c>
      <c r="R15" s="15" t="str">
        <f t="shared" si="7"/>
        <v>2026-02-02-14-slides.md</v>
      </c>
      <c r="S15" s="15" t="str">
        <f t="shared" si="8"/>
        <v xml:space="preserve">---
layout: reveal
title: 'Sollten Religionswissenschaftler/innen am interreligiösen Dialog mitwirken?'
author: 'Nathan Gibson'
session: 14
tags: [14,slides]
category: slides
image: interreligious-conversation.png
parallaxBackgroundImage: 'assets/img/interreligious-conversation.png'
---
</v>
      </c>
      <c r="T15" s="15" t="str">
        <f t="shared" si="9"/>
        <v># Einführung in die 
### Religionswissenschaft
{: .r-fit-text}
### Sollten Religionswissenschaftler/innen am interreligiösen Dialog mitwirken?
Wintersemester 2025/2026
Prof. Dr. Nathan Gibson
## 📈 Rückblick: Lernziel
Fundamentalismus, Radikalisierung und Extremismus definieren und Beispiele für jeden Begriff geben.
## 📈 Rückblick: 
## Projekt
## Einleitung
## Heutiges Lernziel
Überlegen und erklären können, inwieweit religionswissenschaftliche Ansätze zum interreligiösen Dialog beitragen können, sollen und dürfen.</v>
      </c>
      <c r="U15" s="15" t="str">
        <f t="shared" si="10"/>
        <v xml:space="preserve">
## Lektüre
## Diskussion
## Vorschau
Wie gehe ich mit dem erworbenen Wissen um?</v>
      </c>
      <c r="V15" s="15" t="str">
        <f t="shared" si="11"/>
        <v>---
layout: reveal
title: 'Sollten Religionswissenschaftler/innen am interreligiösen Dialog mitwirken?'
author: 'Nathan Gibson'
session: 14
tags: [14,slides]
category: slides
image: interreligious-conversation.png
parallaxBackgroundImage: 'assets/img/interreligious-conversation.png'
---
# Einführung in die 
### Religionswissenschaft
{: .r-fit-text}
### Sollten Religionswissenschaftler/innen am interreligiösen Dialog mitwirken?
Wintersemester 2025/2026
Prof. Dr. Nathan Gibson
## 📈 Rückblick: Lernziel
Fundamentalismus, Radikalisierung und Extremismus definieren und Beispiele für jeden Begriff geben.
## 📈 Rückblick: 
## Projekt
## Einleitung
## Heutiges Lernziel
Überlegen und erklären können, inwieweit religionswissenschaftliche Ansätze zum interreligiösen Dialog beitragen können, sollen und dürfen.
## Lektüre
## Diskussion
## Vorschau
Wie gehe ich mit dem erworbenen Wissen um?</v>
      </c>
    </row>
    <row r="16" spans="1:22" ht="21" customHeight="1" x14ac:dyDescent="0.2">
      <c r="B16" s="5">
        <v>15</v>
      </c>
      <c r="C16" s="8">
        <v>46062</v>
      </c>
      <c r="D16" s="6" t="str">
        <f t="shared" si="0"/>
        <v>2026-02-09-15.md</v>
      </c>
      <c r="E16" s="4" t="s">
        <v>19</v>
      </c>
      <c r="F16" s="4" t="s">
        <v>33</v>
      </c>
      <c r="G16" t="s">
        <v>47</v>
      </c>
      <c r="I16" t="str">
        <f t="shared" si="4"/>
        <v>15. Religionswissenschaft für heute: Wie gehe ich mit dem erworbenen Wissen um?</v>
      </c>
      <c r="J16" s="5">
        <f t="shared" si="1"/>
        <v>15</v>
      </c>
      <c r="K16" t="s">
        <v>59</v>
      </c>
      <c r="L16" t="str">
        <f t="shared" si="5"/>
        <v>15-Abschluss</v>
      </c>
      <c r="P16" t="str">
        <f t="shared" ref="P16" si="12">"["&amp;B16&amp;"]"</f>
        <v>[15]</v>
      </c>
      <c r="Q16" s="15" t="str">
        <f t="shared" si="6"/>
        <v>---
layout: post
session: 15
tags: [15]
level: overview
---</v>
      </c>
      <c r="R16" s="15" t="str">
        <f t="shared" si="7"/>
        <v>2026-02-09-15-slides.md</v>
      </c>
      <c r="S16" s="15" t="str">
        <f t="shared" si="8"/>
        <v xml:space="preserve">---
layout: reveal
title: 'Wie gehe ich mit dem erworbenen Wissen um?'
author: 'Nathan Gibson'
session: 15
tags: [15,slides]
category: slides
image: girl-bridge.jpg
parallaxBackgroundImage: 'assets/img/girl-bridge.jpg'
---
</v>
      </c>
      <c r="T16" s="15" t="str">
        <f t="shared" si="9"/>
        <v xml:space="preserve"># Einführung in die 
### Religionswissenschaft
{: .r-fit-text}
### Wie gehe ich mit dem erworbenen Wissen um?
Wintersemester 2025/2026
Prof. Dr. Nathan Gibson
## 📈 Rückblick: Lernziel
Überlegen und erklären können, inwieweit religionswissenschaftliche Ansätze zum interreligiösen Dialog beitragen können, sollen und dürfen.
## 📈 Rückblick: 
## Projekt
## Einleitung
## Heutiges Lernziel
</v>
      </c>
      <c r="U16" s="15" t="str">
        <f t="shared" si="10"/>
        <v xml:space="preserve">
## Lektüre
## Diskussion
## Vorschau
</v>
      </c>
      <c r="V16" s="15" t="str">
        <f t="shared" si="11"/>
        <v xml:space="preserve">---
layout: reveal
title: 'Wie gehe ich mit dem erworbenen Wissen um?'
author: 'Nathan Gibson'
session: 15
tags: [15,slides]
category: slides
image: girl-bridge.jpg
parallaxBackgroundImage: 'assets/img/girl-bridge.jpg'
---
# Einführung in die 
### Religionswissenschaft
{: .r-fit-text}
### Wie gehe ich mit dem erworbenen Wissen um?
Wintersemester 2025/2026
Prof. Dr. Nathan Gibson
## 📈 Rückblick: Lernziel
Überlegen und erklären können, inwieweit religionswissenschaftliche Ansätze zum interreligiösen Dialog beitragen können, sollen und dürfen.
## 📈 Rückblick: 
## Projekt
## Einleitung
## Heutiges Lernziel
## Lektüre
## Diskussion
## Vorschau
</v>
      </c>
    </row>
    <row r="17" spans="5:5" x14ac:dyDescent="0.2">
      <c r="E17" s="4"/>
    </row>
    <row r="18" spans="5:5" x14ac:dyDescent="0.2">
      <c r="E18" s="4"/>
    </row>
  </sheetData>
  <pageMargins left="0.7" right="0.7" top="0.75" bottom="0.75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Paul Gibson</cp:lastModifiedBy>
  <cp:lastPrinted>2024-04-18T12:58:24Z</cp:lastPrinted>
  <dcterms:created xsi:type="dcterms:W3CDTF">2023-10-09T09:26:31Z</dcterms:created>
  <dcterms:modified xsi:type="dcterms:W3CDTF">2025-10-13T12:58:40Z</dcterms:modified>
</cp:coreProperties>
</file>